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M\Downloads\"/>
    </mc:Choice>
  </mc:AlternateContent>
  <xr:revisionPtr revIDLastSave="0" documentId="13_ncr:1_{6C2D8E8B-4432-45EA-A9AB-A075B5DAEC0F}" xr6:coauthVersionLast="47" xr6:coauthVersionMax="47" xr10:uidLastSave="{00000000-0000-0000-0000-000000000000}"/>
  <bookViews>
    <workbookView xWindow="-120" yWindow="-120" windowWidth="29040" windowHeight="15720" xr2:uid="{F7CA468C-2AA5-4AF1-BC4F-E9401A94AC1B}"/>
  </bookViews>
  <sheets>
    <sheet name="Audit Checklist &amp; Report" sheetId="1" r:id="rId1"/>
    <sheet name="NCR 1" sheetId="2" r:id="rId2"/>
    <sheet name="NCR 2" sheetId="6" r:id="rId3"/>
    <sheet name="NCR 3" sheetId="7" r:id="rId4"/>
    <sheet name="Sheet3" sheetId="3" r:id="rId5"/>
  </sheets>
  <definedNames>
    <definedName name="_xlnm.Print_Area" localSheetId="0">'Audit Checklist &amp; Report'!$B$1:$L$30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9" i="1" l="1"/>
  <c r="L29" i="1"/>
  <c r="I30" i="1"/>
  <c r="I29" i="1"/>
  <c r="F30" i="1"/>
  <c r="L30" i="1" l="1"/>
</calcChain>
</file>

<file path=xl/sharedStrings.xml><?xml version="1.0" encoding="utf-8"?>
<sst xmlns="http://schemas.openxmlformats.org/spreadsheetml/2006/main" count="133" uniqueCount="71">
  <si>
    <t>Audit Date:</t>
  </si>
  <si>
    <t>Department:</t>
  </si>
  <si>
    <t>Auditor:</t>
  </si>
  <si>
    <t>Auditee:</t>
  </si>
  <si>
    <t>ISO Standard:</t>
  </si>
  <si>
    <t>Audit Status:</t>
  </si>
  <si>
    <t>ISO Clause</t>
  </si>
  <si>
    <t>Compliance Status</t>
  </si>
  <si>
    <t>Auditor Comments</t>
  </si>
  <si>
    <t>AUDIT SUMMARY</t>
  </si>
  <si>
    <t>Total Items Audited:</t>
  </si>
  <si>
    <t>Conformities:</t>
  </si>
  <si>
    <t>Non-Conformities:</t>
  </si>
  <si>
    <t>Observations:</t>
  </si>
  <si>
    <t>OFIs:</t>
  </si>
  <si>
    <t>Compliance Rate:</t>
  </si>
  <si>
    <t>Review Date:</t>
  </si>
  <si>
    <t>Reviewed By:</t>
  </si>
  <si>
    <t>Actual Completion Date:</t>
  </si>
  <si>
    <t>Current Status:</t>
  </si>
  <si>
    <t>SECTION 5: STATUS &amp; REVIEW</t>
  </si>
  <si>
    <t>Expected Completion Date:</t>
  </si>
  <si>
    <t>Responsible Person:</t>
  </si>
  <si>
    <t>Corrective Action Plan:</t>
  </si>
  <si>
    <t>Immediate Correction:</t>
  </si>
  <si>
    <t>SECTION 4: CORRECTIVE ACTIONS</t>
  </si>
  <si>
    <t>Root Cause (What led to NC):</t>
  </si>
  <si>
    <t>SECTION 3: ROOT CAUSE ANALYSIS</t>
  </si>
  <si>
    <t>Standard Requirement Contravened:</t>
  </si>
  <si>
    <t>Description of Non-Conformity:</t>
  </si>
  <si>
    <t>SECTION 2: NON-CONFORMITY DETAILS</t>
  </si>
  <si>
    <t>Clause Reference:</t>
  </si>
  <si>
    <t>Risk Level:</t>
  </si>
  <si>
    <t>Type of NC:</t>
  </si>
  <si>
    <t>Reported By:</t>
  </si>
  <si>
    <t>2026-01-23</t>
  </si>
  <si>
    <t>Date Reported:</t>
  </si>
  <si>
    <t>NCR ID:</t>
  </si>
  <si>
    <t>SECTION 1: BASIC INFORMATION</t>
  </si>
  <si>
    <t>Objective Evidence Observed</t>
  </si>
  <si>
    <t>Non-Conformity (NC)</t>
  </si>
  <si>
    <t>INTERNAL AUDIT CHECKLIST &amp; REPORT</t>
  </si>
  <si>
    <t>Ref: GBA/200/IACR/2026/01</t>
  </si>
  <si>
    <t>ISO 9001:2015</t>
  </si>
  <si>
    <t>ISO 14001:2015</t>
  </si>
  <si>
    <t>ISO 45001:2018</t>
  </si>
  <si>
    <t>Completed</t>
  </si>
  <si>
    <t>Procurement</t>
  </si>
  <si>
    <t>ISO Standard</t>
  </si>
  <si>
    <t>8.1.4.3</t>
  </si>
  <si>
    <r>
      <rPr>
        <b/>
        <sz val="10"/>
        <color theme="1"/>
        <rFont val="Calibri"/>
        <family val="2"/>
      </rPr>
      <t xml:space="preserve">Outsourcing: </t>
    </r>
    <r>
      <rPr>
        <sz val="10"/>
        <color theme="1"/>
        <rFont val="Calibri"/>
        <family val="2"/>
      </rPr>
      <t>The organization shall ensure that outsourced functions and processes are controlled.</t>
    </r>
  </si>
  <si>
    <t>Auditor</t>
  </si>
  <si>
    <t>Alex Ochieng</t>
  </si>
  <si>
    <t>Dennis Chirchir</t>
  </si>
  <si>
    <t>William Owiti</t>
  </si>
  <si>
    <t>Mirriam Lumet</t>
  </si>
  <si>
    <t>Gilfred Agwona</t>
  </si>
  <si>
    <t>Nelly Mpaayo</t>
  </si>
  <si>
    <t>Caleb Kipkoech</t>
  </si>
  <si>
    <t>Violet Malala</t>
  </si>
  <si>
    <t>Peter Musyoki</t>
  </si>
  <si>
    <t>Lynnet Kang'ela</t>
  </si>
  <si>
    <t>NCR Issued.
Procurement fails to to ensure proper controls through MSDS verification for new chemical batches.</t>
  </si>
  <si>
    <t>Sampled 5 Purchase Orders (LPO No. 254, 584, 147, 256 &amp; 025) for chemical supplies. 2 out of 5 lacked the updated Material Safety Data Sheets (MSDS) in the procurement file.</t>
  </si>
  <si>
    <t>Effectiveness Review (by MR): Comments</t>
  </si>
  <si>
    <t>Instructions: Fill in the white cells below.</t>
  </si>
  <si>
    <t>Ref: GBA/200/NCR/2026/01</t>
  </si>
  <si>
    <t>NON-CONFORMITY REPORT (NCR)</t>
  </si>
  <si>
    <t>Audit Question</t>
  </si>
  <si>
    <t xml:space="preserve">How do we ensure that outsourced processes (e.g., chemical waste management) are controlled to prevent health and safety risks? </t>
  </si>
  <si>
    <t>Standard Requirement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</si>
</sst>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Aptos Narrow"/>
      <family val="2"/>
      <scheme val="minor"/>
    </font>
    <font>
      <b/>
      <sz val="14"/>
      <color rgb="FFFFFFFF"/>
      <name val="Calibri"/>
      <family val="2"/>
    </font>
    <font>
      <b/>
      <sz val="10"/>
      <name val="Calibri"/>
      <family val="2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sz val="8"/>
      <name val="Aptos Narrow"/>
      <family val="2"/>
      <scheme val="minor"/>
    </font>
    <font>
      <b/>
      <sz val="10"/>
      <name val="Calibri"/>
      <family val="2"/>
    </font>
    <font>
      <b/>
      <sz val="10"/>
      <color rgb="FFFFFFFF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9"/>
      <name val="Calibri"/>
      <family val="2"/>
    </font>
    <font>
      <sz val="8"/>
      <name val="Calibri"/>
      <family val="2"/>
    </font>
    <font>
      <i/>
      <sz val="9"/>
      <name val="Calibri"/>
      <family val="2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theme="0" tint="-4.9989318521683403E-2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rgb="FFD9E1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rgb="FFFFFF00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1" xfId="0" applyBorder="1"/>
    <xf numFmtId="0" fontId="11" fillId="3" borderId="1" xfId="0" applyFont="1" applyFill="1" applyBorder="1" applyAlignment="1">
      <alignment horizontal="center" vertical="center"/>
    </xf>
    <xf numFmtId="0" fontId="12" fillId="0" borderId="1" xfId="0" applyFont="1" applyBorder="1"/>
    <xf numFmtId="0" fontId="9" fillId="7" borderId="1" xfId="0" applyFont="1" applyFill="1" applyBorder="1" applyAlignment="1" applyProtection="1">
      <alignment horizontal="left" vertical="top"/>
      <protection locked="0"/>
    </xf>
    <xf numFmtId="0" fontId="9" fillId="7" borderId="4" xfId="0" applyFont="1" applyFill="1" applyBorder="1" applyAlignment="1" applyProtection="1">
      <alignment horizontal="left" vertical="top" wrapText="1"/>
      <protection locked="0"/>
    </xf>
    <xf numFmtId="0" fontId="9" fillId="7" borderId="4" xfId="0" applyFont="1" applyFill="1" applyBorder="1" applyAlignment="1" applyProtection="1">
      <alignment horizontal="left" vertical="top" wrapText="1"/>
      <protection locked="0"/>
    </xf>
    <xf numFmtId="0" fontId="9" fillId="8" borderId="1" xfId="0" applyFont="1" applyFill="1" applyBorder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horizontal="center" wrapText="1"/>
      <protection locked="0"/>
    </xf>
    <xf numFmtId="0" fontId="2" fillId="9" borderId="4" xfId="0" applyFont="1" applyFill="1" applyBorder="1" applyAlignment="1" applyProtection="1">
      <alignment wrapText="1"/>
      <protection locked="0"/>
    </xf>
    <xf numFmtId="0" fontId="2" fillId="9" borderId="3" xfId="0" applyFont="1" applyFill="1" applyBorder="1" applyAlignment="1" applyProtection="1">
      <alignment wrapText="1"/>
      <protection locked="0"/>
    </xf>
    <xf numFmtId="0" fontId="5" fillId="9" borderId="4" xfId="0" applyFont="1" applyFill="1" applyBorder="1" applyAlignment="1" applyProtection="1">
      <protection locked="0"/>
    </xf>
    <xf numFmtId="0" fontId="5" fillId="9" borderId="1" xfId="0" applyFont="1" applyFill="1" applyBorder="1" applyProtection="1">
      <protection locked="0"/>
    </xf>
    <xf numFmtId="0" fontId="9" fillId="4" borderId="1" xfId="0" applyFont="1" applyFill="1" applyBorder="1" applyProtection="1">
      <protection locked="0"/>
    </xf>
    <xf numFmtId="0" fontId="9" fillId="7" borderId="4" xfId="0" applyFont="1" applyFill="1" applyBorder="1" applyAlignment="1" applyProtection="1">
      <alignment vertical="top" wrapText="1"/>
      <protection locked="0"/>
    </xf>
    <xf numFmtId="0" fontId="9" fillId="8" borderId="1" xfId="0" applyFont="1" applyFill="1" applyBorder="1" applyAlignment="1" applyProtection="1">
      <alignment horizontal="center" vertical="top" wrapText="1"/>
      <protection locked="0"/>
    </xf>
    <xf numFmtId="0" fontId="9" fillId="8" borderId="0" xfId="0" applyFont="1" applyFill="1" applyAlignment="1" applyProtection="1">
      <alignment vertical="top"/>
      <protection locked="0"/>
    </xf>
    <xf numFmtId="0" fontId="0" fillId="0" borderId="1" xfId="0" applyBorder="1" applyProtection="1">
      <protection locked="0"/>
    </xf>
    <xf numFmtId="0" fontId="9" fillId="8" borderId="0" xfId="0" applyFont="1" applyFill="1" applyAlignment="1" applyProtection="1">
      <alignment horizontal="left" vertical="top"/>
    </xf>
    <xf numFmtId="0" fontId="3" fillId="5" borderId="1" xfId="0" applyFont="1" applyFill="1" applyBorder="1" applyAlignment="1" applyProtection="1">
      <alignment horizontal="center" vertical="center" wrapText="1"/>
    </xf>
    <xf numFmtId="0" fontId="8" fillId="5" borderId="4" xfId="0" applyFont="1" applyFill="1" applyBorder="1" applyAlignment="1" applyProtection="1">
      <alignment horizontal="center" vertical="center" wrapText="1"/>
    </xf>
    <xf numFmtId="0" fontId="3" fillId="5" borderId="4" xfId="0" applyFont="1" applyFill="1" applyBorder="1" applyAlignment="1" applyProtection="1">
      <alignment horizontal="center" vertical="center" wrapText="1"/>
    </xf>
    <xf numFmtId="0" fontId="0" fillId="0" borderId="0" xfId="0" applyProtection="1"/>
    <xf numFmtId="0" fontId="0" fillId="0" borderId="1" xfId="0" applyBorder="1" applyAlignment="1" applyProtection="1">
      <alignment horizontal="center"/>
    </xf>
    <xf numFmtId="0" fontId="2" fillId="3" borderId="1" xfId="0" applyFont="1" applyFill="1" applyBorder="1" applyProtection="1"/>
    <xf numFmtId="0" fontId="2" fillId="3" borderId="1" xfId="0" applyFont="1" applyFill="1" applyBorder="1" applyAlignment="1" applyProtection="1">
      <alignment horizontal="right"/>
    </xf>
    <xf numFmtId="0" fontId="0" fillId="0" borderId="1" xfId="0" applyBorder="1" applyAlignment="1" applyProtection="1">
      <alignment horizontal="center" wrapText="1"/>
    </xf>
    <xf numFmtId="0" fontId="0" fillId="0" borderId="1" xfId="0" applyBorder="1" applyProtection="1"/>
    <xf numFmtId="164" fontId="0" fillId="0" borderId="1" xfId="0" applyNumberFormat="1" applyBorder="1" applyProtection="1"/>
    <xf numFmtId="0" fontId="0" fillId="10" borderId="0" xfId="0" applyFill="1"/>
    <xf numFmtId="0" fontId="0" fillId="0" borderId="0" xfId="0" applyAlignment="1" applyProtection="1">
      <alignment horizontal="left"/>
      <protection locked="0"/>
    </xf>
    <xf numFmtId="0" fontId="3" fillId="5" borderId="1" xfId="0" applyFont="1" applyFill="1" applyBorder="1" applyAlignment="1" applyProtection="1">
      <alignment horizontal="left" vertical="center" wrapText="1"/>
    </xf>
    <xf numFmtId="0" fontId="9" fillId="7" borderId="3" xfId="0" applyFont="1" applyFill="1" applyBorder="1" applyAlignment="1" applyProtection="1">
      <alignment horizontal="left" vertical="top" wrapText="1"/>
      <protection locked="0"/>
    </xf>
    <xf numFmtId="0" fontId="9" fillId="7" borderId="4" xfId="0" applyFont="1" applyFill="1" applyBorder="1" applyAlignment="1" applyProtection="1">
      <alignment horizontal="center" vertical="top" wrapText="1"/>
      <protection locked="0"/>
    </xf>
    <xf numFmtId="0" fontId="9" fillId="7" borderId="3" xfId="0" applyFont="1" applyFill="1" applyBorder="1" applyAlignment="1" applyProtection="1">
      <alignment horizontal="center" vertical="top" wrapText="1"/>
      <protection locked="0"/>
    </xf>
    <xf numFmtId="0" fontId="9" fillId="7" borderId="2" xfId="0" applyFont="1" applyFill="1" applyBorder="1" applyAlignment="1" applyProtection="1">
      <alignment horizontal="center" vertical="top" wrapText="1"/>
      <protection locked="0"/>
    </xf>
    <xf numFmtId="0" fontId="9" fillId="0" borderId="1" xfId="0" applyFont="1" applyBorder="1" applyProtection="1">
      <protection locked="0"/>
    </xf>
    <xf numFmtId="0" fontId="0" fillId="0" borderId="1" xfId="0" applyFill="1" applyBorder="1" applyProtection="1">
      <protection locked="0"/>
    </xf>
    <xf numFmtId="0" fontId="9" fillId="0" borderId="1" xfId="0" applyFont="1" applyFill="1" applyBorder="1" applyProtection="1">
      <protection locked="0"/>
    </xf>
    <xf numFmtId="0" fontId="0" fillId="11" borderId="1" xfId="0" applyFill="1" applyBorder="1" applyProtection="1">
      <protection locked="0"/>
    </xf>
    <xf numFmtId="0" fontId="7" fillId="3" borderId="1" xfId="0" applyFont="1" applyFill="1" applyBorder="1" applyProtection="1"/>
    <xf numFmtId="0" fontId="7" fillId="3" borderId="1" xfId="0" applyFont="1" applyFill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/>
    </xf>
    <xf numFmtId="0" fontId="7" fillId="3" borderId="1" xfId="0" applyFont="1" applyFill="1" applyBorder="1" applyAlignment="1" applyProtection="1">
      <alignment vertical="top" wrapText="1"/>
    </xf>
    <xf numFmtId="0" fontId="9" fillId="0" borderId="5" xfId="0" applyFont="1" applyBorder="1" applyAlignment="1" applyProtection="1">
      <alignment horizontal="center" vertical="center"/>
      <protection locked="0"/>
    </xf>
    <xf numFmtId="0" fontId="2" fillId="3" borderId="4" xfId="0" applyFont="1" applyFill="1" applyBorder="1" applyAlignment="1" applyProtection="1">
      <alignment horizontal="right"/>
    </xf>
    <xf numFmtId="0" fontId="2" fillId="3" borderId="2" xfId="0" applyFont="1" applyFill="1" applyBorder="1" applyAlignment="1" applyProtection="1">
      <alignment horizontal="right"/>
    </xf>
    <xf numFmtId="0" fontId="2" fillId="3" borderId="3" xfId="0" applyFont="1" applyFill="1" applyBorder="1" applyAlignment="1" applyProtection="1">
      <alignment horizontal="right"/>
    </xf>
    <xf numFmtId="0" fontId="9" fillId="7" borderId="4" xfId="0" applyFont="1" applyFill="1" applyBorder="1" applyAlignment="1" applyProtection="1">
      <alignment horizontal="center" vertical="top" wrapText="1"/>
      <protection locked="0"/>
    </xf>
    <xf numFmtId="0" fontId="9" fillId="7" borderId="3" xfId="0" applyFont="1" applyFill="1" applyBorder="1" applyAlignment="1" applyProtection="1">
      <alignment horizontal="center" vertical="top" wrapText="1"/>
      <protection locked="0"/>
    </xf>
    <xf numFmtId="0" fontId="9" fillId="7" borderId="2" xfId="0" applyFont="1" applyFill="1" applyBorder="1" applyAlignment="1" applyProtection="1">
      <alignment horizontal="center" vertical="top" wrapText="1"/>
      <protection locked="0"/>
    </xf>
    <xf numFmtId="0" fontId="3" fillId="5" borderId="4" xfId="0" applyFont="1" applyFill="1" applyBorder="1" applyAlignment="1" applyProtection="1">
      <alignment horizontal="center" vertical="center" wrapText="1"/>
    </xf>
    <xf numFmtId="0" fontId="3" fillId="5" borderId="3" xfId="0" applyFont="1" applyFill="1" applyBorder="1" applyAlignment="1" applyProtection="1">
      <alignment horizontal="center" vertical="center" wrapText="1"/>
    </xf>
    <xf numFmtId="0" fontId="9" fillId="7" borderId="4" xfId="0" applyFont="1" applyFill="1" applyBorder="1" applyAlignment="1" applyProtection="1">
      <alignment horizontal="left" vertical="top" wrapText="1"/>
      <protection locked="0"/>
    </xf>
    <xf numFmtId="0" fontId="9" fillId="7" borderId="3" xfId="0" applyFont="1" applyFill="1" applyBorder="1" applyAlignment="1" applyProtection="1">
      <alignment horizontal="left" vertical="top" wrapText="1"/>
      <protection locked="0"/>
    </xf>
    <xf numFmtId="0" fontId="1" fillId="2" borderId="0" xfId="0" applyFont="1" applyFill="1" applyAlignment="1" applyProtection="1">
      <alignment horizontal="center" vertical="center"/>
    </xf>
    <xf numFmtId="0" fontId="0" fillId="0" borderId="0" xfId="0" applyProtection="1"/>
    <xf numFmtId="0" fontId="4" fillId="5" borderId="1" xfId="0" applyFont="1" applyFill="1" applyBorder="1" applyAlignment="1" applyProtection="1">
      <alignment horizontal="center" vertical="center"/>
    </xf>
    <xf numFmtId="0" fontId="4" fillId="5" borderId="2" xfId="0" applyFont="1" applyFill="1" applyBorder="1" applyAlignment="1" applyProtection="1">
      <alignment horizontal="center" vertical="center"/>
    </xf>
    <xf numFmtId="0" fontId="0" fillId="0" borderId="2" xfId="0" applyBorder="1" applyProtection="1"/>
    <xf numFmtId="0" fontId="0" fillId="0" borderId="3" xfId="0" applyBorder="1" applyProtection="1"/>
    <xf numFmtId="0" fontId="3" fillId="5" borderId="2" xfId="0" applyFont="1" applyFill="1" applyBorder="1" applyAlignment="1" applyProtection="1">
      <alignment horizontal="center" vertical="center" wrapText="1"/>
    </xf>
    <xf numFmtId="0" fontId="14" fillId="2" borderId="1" xfId="0" applyFont="1" applyFill="1" applyBorder="1" applyAlignment="1" applyProtection="1">
      <alignment horizontal="center" vertical="center"/>
    </xf>
    <xf numFmtId="0" fontId="13" fillId="6" borderId="1" xfId="0" applyFont="1" applyFill="1" applyBorder="1" applyAlignment="1" applyProtection="1">
      <alignment horizontal="center" vertical="center"/>
    </xf>
    <xf numFmtId="0" fontId="4" fillId="5" borderId="1" xfId="0" applyFont="1" applyFill="1" applyBorder="1" applyAlignment="1" applyProtection="1">
      <alignment horizontal="left" vertical="center"/>
    </xf>
    <xf numFmtId="0" fontId="0" fillId="11" borderId="1" xfId="0" applyFill="1" applyBorder="1" applyAlignment="1" applyProtection="1">
      <alignment vertical="top" wrapText="1"/>
      <protection locked="0"/>
    </xf>
    <xf numFmtId="0" fontId="0" fillId="12" borderId="2" xfId="0" applyFill="1" applyBorder="1" applyProtection="1">
      <protection locked="0"/>
    </xf>
    <xf numFmtId="0" fontId="0" fillId="12" borderId="3" xfId="0" applyFill="1" applyBorder="1" applyProtection="1">
      <protection locked="0"/>
    </xf>
    <xf numFmtId="0" fontId="0" fillId="10" borderId="4" xfId="0" applyFill="1" applyBorder="1" applyAlignment="1" applyProtection="1">
      <alignment horizontal="center"/>
      <protection locked="0"/>
    </xf>
    <xf numFmtId="0" fontId="0" fillId="10" borderId="2" xfId="0" applyFill="1" applyBorder="1" applyAlignment="1" applyProtection="1">
      <alignment horizontal="center"/>
      <protection locked="0"/>
    </xf>
    <xf numFmtId="0" fontId="0" fillId="10" borderId="3" xfId="0" applyFill="1" applyBorder="1" applyAlignment="1" applyProtection="1">
      <alignment horizontal="center"/>
      <protection locked="0"/>
    </xf>
    <xf numFmtId="0" fontId="15" fillId="5" borderId="1" xfId="0" applyFont="1" applyFill="1" applyBorder="1" applyAlignment="1" applyProtection="1">
      <alignment horizontal="left" vertical="center"/>
    </xf>
    <xf numFmtId="0" fontId="9" fillId="13" borderId="1" xfId="0" applyFont="1" applyFill="1" applyBorder="1" applyAlignment="1" applyProtection="1">
      <alignment horizontal="left" vertical="top"/>
    </xf>
    <xf numFmtId="0" fontId="9" fillId="13" borderId="4" xfId="0" applyFont="1" applyFill="1" applyBorder="1" applyAlignment="1" applyProtection="1">
      <alignment horizontal="left" vertical="top" wrapText="1"/>
    </xf>
    <xf numFmtId="0" fontId="9" fillId="13" borderId="4" xfId="0" applyFont="1" applyFill="1" applyBorder="1" applyAlignment="1" applyProtection="1">
      <alignment horizontal="left" vertical="top" wrapText="1"/>
    </xf>
    <xf numFmtId="0" fontId="9" fillId="13" borderId="3" xfId="0" applyFont="1" applyFill="1" applyBorder="1" applyAlignment="1" applyProtection="1">
      <alignment horizontal="left" vertical="top" wrapText="1"/>
    </xf>
    <xf numFmtId="0" fontId="9" fillId="14" borderId="1" xfId="0" applyFont="1" applyFill="1" applyBorder="1" applyAlignment="1" applyProtection="1">
      <alignment horizontal="left" vertical="top" wrapText="1"/>
    </xf>
    <xf numFmtId="0" fontId="9" fillId="13" borderId="2" xfId="0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8282</xdr:colOff>
      <xdr:row>0</xdr:row>
      <xdr:rowOff>8283</xdr:rowOff>
    </xdr:from>
    <xdr:to>
      <xdr:col>2</xdr:col>
      <xdr:colOff>405848</xdr:colOff>
      <xdr:row>1</xdr:row>
      <xdr:rowOff>2145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6D1B9B-82A9-4ECF-0616-17DA24CBD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956" y="8283"/>
          <a:ext cx="1027044" cy="664753"/>
        </a:xfrm>
        <a:prstGeom prst="rect">
          <a:avLst/>
        </a:prstGeom>
        <a:noFill/>
      </xdr:spPr>
    </xdr:pic>
    <xdr:clientData/>
  </xdr:twoCellAnchor>
  <xdr:twoCellAnchor>
    <xdr:from>
      <xdr:col>12</xdr:col>
      <xdr:colOff>74543</xdr:colOff>
      <xdr:row>5</xdr:row>
      <xdr:rowOff>265043</xdr:rowOff>
    </xdr:from>
    <xdr:to>
      <xdr:col>12</xdr:col>
      <xdr:colOff>588065</xdr:colOff>
      <xdr:row>5</xdr:row>
      <xdr:rowOff>438978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296B5967-E1C7-5F77-A71A-7099DBD17EE0}"/>
            </a:ext>
          </a:extLst>
        </xdr:cNvPr>
        <xdr:cNvSpPr/>
      </xdr:nvSpPr>
      <xdr:spPr>
        <a:xfrm>
          <a:off x="11471413" y="1764195"/>
          <a:ext cx="513522" cy="17393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604628</xdr:colOff>
      <xdr:row>5</xdr:row>
      <xdr:rowOff>41414</xdr:rowOff>
    </xdr:from>
    <xdr:to>
      <xdr:col>16</xdr:col>
      <xdr:colOff>82825</xdr:colOff>
      <xdr:row>5</xdr:row>
      <xdr:rowOff>654326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242DBAC-0F20-4EE0-8FFB-94ED8AB781BF}"/>
            </a:ext>
          </a:extLst>
        </xdr:cNvPr>
        <xdr:cNvSpPr txBox="1"/>
      </xdr:nvSpPr>
      <xdr:spPr>
        <a:xfrm>
          <a:off x="12001498" y="1540566"/>
          <a:ext cx="1929849" cy="6129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0"/>
            <a:t>Here is an example of what a completed Departmental Audit Report would look like</a:t>
          </a: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1025055</xdr:colOff>
      <xdr:row>1</xdr:row>
      <xdr:rowOff>6570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0A0CF3-A3DB-F4C1-E0F4-007E1ADC5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1"/>
          <a:ext cx="1025055" cy="663466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1025055</xdr:colOff>
      <xdr:row>1</xdr:row>
      <xdr:rowOff>6570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B2BE75-52E9-4C5E-9C61-D82440398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1"/>
          <a:ext cx="1025055" cy="663794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1025055</xdr:colOff>
      <xdr:row>1</xdr:row>
      <xdr:rowOff>6570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5FB395-7617-440C-B325-FDA43B1E8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1"/>
          <a:ext cx="1025055" cy="66379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57074-2575-43AC-9725-ED352EC66DCB}">
  <dimension ref="B1:L30"/>
  <sheetViews>
    <sheetView tabSelected="1" view="pageBreakPreview" zoomScale="115" zoomScaleNormal="100" zoomScaleSheetLayoutView="115" workbookViewId="0">
      <pane ySplit="5" topLeftCell="A6" activePane="bottomLeft" state="frozen"/>
      <selection pane="bottomLeft" activeCell="J8" sqref="J8"/>
    </sheetView>
  </sheetViews>
  <sheetFormatPr defaultRowHeight="15" x14ac:dyDescent="0.25"/>
  <cols>
    <col min="1" max="1" width="1.5703125" style="8" customWidth="1"/>
    <col min="2" max="2" width="9.42578125" style="32" customWidth="1"/>
    <col min="3" max="3" width="11.140625" style="9" customWidth="1"/>
    <col min="4" max="4" width="27.85546875" style="9" customWidth="1"/>
    <col min="5" max="5" width="10.7109375" style="8" customWidth="1"/>
    <col min="6" max="6" width="17.42578125" style="8" customWidth="1"/>
    <col min="7" max="7" width="14.5703125" style="8" customWidth="1"/>
    <col min="8" max="8" width="14.85546875" style="8" customWidth="1"/>
    <col min="9" max="9" width="13.5703125" style="10" customWidth="1"/>
    <col min="10" max="10" width="15" style="8" customWidth="1"/>
    <col min="11" max="11" width="11.140625" style="8" customWidth="1"/>
    <col min="12" max="12" width="12.85546875" style="8" customWidth="1"/>
    <col min="13" max="16384" width="9.140625" style="8"/>
  </cols>
  <sheetData>
    <row r="1" spans="2:12" ht="52.5" customHeight="1" x14ac:dyDescent="0.25">
      <c r="B1" s="58" t="s">
        <v>41</v>
      </c>
      <c r="C1" s="58"/>
      <c r="D1" s="58"/>
      <c r="E1" s="58"/>
      <c r="F1" s="59"/>
      <c r="G1" s="59"/>
      <c r="H1" s="59"/>
      <c r="I1" s="59"/>
      <c r="J1" s="59"/>
      <c r="K1" s="59"/>
      <c r="L1" s="59"/>
    </row>
    <row r="2" spans="2:12" x14ac:dyDescent="0.25">
      <c r="K2" s="47" t="s">
        <v>42</v>
      </c>
      <c r="L2" s="47"/>
    </row>
    <row r="3" spans="2:12" x14ac:dyDescent="0.25">
      <c r="B3" s="48" t="s">
        <v>0</v>
      </c>
      <c r="C3" s="50"/>
      <c r="D3" s="11"/>
      <c r="E3" s="26" t="s">
        <v>3</v>
      </c>
      <c r="F3" s="12"/>
      <c r="G3" s="26" t="s">
        <v>1</v>
      </c>
      <c r="H3" s="13" t="s">
        <v>47</v>
      </c>
      <c r="I3" s="26" t="s">
        <v>2</v>
      </c>
      <c r="J3" s="14" t="s">
        <v>53</v>
      </c>
      <c r="K3" s="26" t="s">
        <v>5</v>
      </c>
      <c r="L3" s="15" t="s">
        <v>46</v>
      </c>
    </row>
    <row r="4" spans="2:12" ht="9.75" customHeight="1" x14ac:dyDescent="0.25"/>
    <row r="5" spans="2:12" s="24" customFormat="1" ht="25.5" customHeight="1" x14ac:dyDescent="0.25">
      <c r="B5" s="33" t="s">
        <v>6</v>
      </c>
      <c r="C5" s="22" t="s">
        <v>48</v>
      </c>
      <c r="D5" s="23" t="s">
        <v>68</v>
      </c>
      <c r="E5" s="54" t="s">
        <v>70</v>
      </c>
      <c r="F5" s="55"/>
      <c r="G5" s="54" t="s">
        <v>39</v>
      </c>
      <c r="H5" s="55"/>
      <c r="I5" s="21" t="s">
        <v>7</v>
      </c>
      <c r="J5" s="54" t="s">
        <v>8</v>
      </c>
      <c r="K5" s="64"/>
      <c r="L5" s="55"/>
    </row>
    <row r="6" spans="2:12" s="20" customFormat="1" ht="67.5" customHeight="1" x14ac:dyDescent="0.25">
      <c r="B6" s="75" t="s">
        <v>49</v>
      </c>
      <c r="C6" s="76" t="s">
        <v>45</v>
      </c>
      <c r="D6" s="76" t="s">
        <v>69</v>
      </c>
      <c r="E6" s="77" t="s">
        <v>50</v>
      </c>
      <c r="F6" s="78"/>
      <c r="G6" s="77" t="s">
        <v>63</v>
      </c>
      <c r="H6" s="78"/>
      <c r="I6" s="79" t="s">
        <v>40</v>
      </c>
      <c r="J6" s="77" t="s">
        <v>62</v>
      </c>
      <c r="K6" s="80"/>
      <c r="L6" s="78"/>
    </row>
    <row r="7" spans="2:12" s="18" customFormat="1" ht="22.5" customHeight="1" x14ac:dyDescent="0.25">
      <c r="B7" s="4"/>
      <c r="C7" s="5"/>
      <c r="D7" s="6"/>
      <c r="E7" s="56"/>
      <c r="F7" s="57"/>
      <c r="G7" s="51"/>
      <c r="H7" s="52"/>
      <c r="I7" s="7"/>
      <c r="J7" s="51"/>
      <c r="K7" s="53"/>
      <c r="L7" s="52"/>
    </row>
    <row r="8" spans="2:12" s="18" customFormat="1" ht="13.5" customHeight="1" x14ac:dyDescent="0.25">
      <c r="B8" s="4"/>
      <c r="C8" s="5"/>
      <c r="D8" s="6"/>
      <c r="E8" s="5"/>
      <c r="F8" s="34"/>
      <c r="G8" s="35"/>
      <c r="H8" s="36"/>
      <c r="I8" s="7"/>
      <c r="J8" s="35"/>
      <c r="K8" s="37"/>
      <c r="L8" s="36"/>
    </row>
    <row r="9" spans="2:12" s="18" customFormat="1" ht="13.5" customHeight="1" x14ac:dyDescent="0.25">
      <c r="B9" s="4"/>
      <c r="C9" s="5"/>
      <c r="D9" s="6"/>
      <c r="E9" s="56"/>
      <c r="F9" s="57"/>
      <c r="G9" s="51"/>
      <c r="H9" s="52"/>
      <c r="I9" s="7"/>
      <c r="J9" s="51"/>
      <c r="K9" s="53"/>
      <c r="L9" s="52"/>
    </row>
    <row r="10" spans="2:12" s="18" customFormat="1" ht="13.5" customHeight="1" x14ac:dyDescent="0.25">
      <c r="B10" s="4"/>
      <c r="C10" s="16"/>
      <c r="D10" s="16"/>
      <c r="E10" s="56"/>
      <c r="F10" s="57"/>
      <c r="G10" s="51"/>
      <c r="H10" s="52"/>
      <c r="I10" s="7"/>
      <c r="J10" s="51"/>
      <c r="K10" s="53"/>
      <c r="L10" s="52"/>
    </row>
    <row r="11" spans="2:12" s="18" customFormat="1" ht="13.5" customHeight="1" x14ac:dyDescent="0.25">
      <c r="B11" s="4"/>
      <c r="C11" s="16"/>
      <c r="D11" s="16"/>
      <c r="E11" s="56"/>
      <c r="F11" s="57"/>
      <c r="G11" s="51"/>
      <c r="H11" s="52"/>
      <c r="I11" s="7"/>
      <c r="J11" s="51"/>
      <c r="K11" s="53"/>
      <c r="L11" s="52"/>
    </row>
    <row r="12" spans="2:12" s="18" customFormat="1" ht="12.75" x14ac:dyDescent="0.25">
      <c r="B12" s="4"/>
      <c r="C12" s="16"/>
      <c r="D12" s="16"/>
      <c r="E12" s="56"/>
      <c r="F12" s="57"/>
      <c r="G12" s="51"/>
      <c r="H12" s="52"/>
      <c r="I12" s="7"/>
      <c r="J12" s="51"/>
      <c r="K12" s="53"/>
      <c r="L12" s="52"/>
    </row>
    <row r="13" spans="2:12" s="18" customFormat="1" ht="12.75" x14ac:dyDescent="0.25">
      <c r="B13" s="4"/>
      <c r="C13" s="16"/>
      <c r="D13" s="16"/>
      <c r="E13" s="56"/>
      <c r="F13" s="57"/>
      <c r="G13" s="51"/>
      <c r="H13" s="52"/>
      <c r="I13" s="17"/>
      <c r="J13" s="51"/>
      <c r="K13" s="53"/>
      <c r="L13" s="52"/>
    </row>
    <row r="14" spans="2:12" s="18" customFormat="1" ht="12.75" x14ac:dyDescent="0.25">
      <c r="B14" s="4"/>
      <c r="C14" s="16"/>
      <c r="D14" s="16"/>
      <c r="E14" s="56"/>
      <c r="F14" s="57"/>
      <c r="G14" s="51"/>
      <c r="H14" s="52"/>
      <c r="I14" s="17"/>
      <c r="J14" s="51"/>
      <c r="K14" s="53"/>
      <c r="L14" s="52"/>
    </row>
    <row r="15" spans="2:12" s="18" customFormat="1" ht="12.75" x14ac:dyDescent="0.25">
      <c r="B15" s="4"/>
      <c r="C15" s="16"/>
      <c r="D15" s="16"/>
      <c r="E15" s="56"/>
      <c r="F15" s="57"/>
      <c r="G15" s="51"/>
      <c r="H15" s="52"/>
      <c r="I15" s="17"/>
      <c r="J15" s="51"/>
      <c r="K15" s="53"/>
      <c r="L15" s="52"/>
    </row>
    <row r="16" spans="2:12" s="18" customFormat="1" ht="12.75" x14ac:dyDescent="0.25">
      <c r="B16" s="4"/>
      <c r="C16" s="16"/>
      <c r="D16" s="16"/>
      <c r="E16" s="56"/>
      <c r="F16" s="57"/>
      <c r="G16" s="51"/>
      <c r="H16" s="52"/>
      <c r="I16" s="17"/>
      <c r="J16" s="51"/>
      <c r="K16" s="53"/>
      <c r="L16" s="52"/>
    </row>
    <row r="17" spans="2:12" s="18" customFormat="1" ht="12.75" x14ac:dyDescent="0.25">
      <c r="B17" s="4"/>
      <c r="C17" s="16"/>
      <c r="D17" s="16"/>
      <c r="E17" s="56"/>
      <c r="F17" s="57"/>
      <c r="G17" s="51"/>
      <c r="H17" s="52"/>
      <c r="I17" s="17"/>
      <c r="J17" s="51"/>
      <c r="K17" s="53"/>
      <c r="L17" s="52"/>
    </row>
    <row r="18" spans="2:12" s="18" customFormat="1" ht="12.75" x14ac:dyDescent="0.25">
      <c r="B18" s="4"/>
      <c r="C18" s="16"/>
      <c r="D18" s="16"/>
      <c r="E18" s="56"/>
      <c r="F18" s="57"/>
      <c r="G18" s="51"/>
      <c r="H18" s="52"/>
      <c r="I18" s="17"/>
      <c r="J18" s="51"/>
      <c r="K18" s="53"/>
      <c r="L18" s="52"/>
    </row>
    <row r="19" spans="2:12" s="18" customFormat="1" ht="12.75" x14ac:dyDescent="0.25">
      <c r="B19" s="4"/>
      <c r="C19" s="16"/>
      <c r="D19" s="16"/>
      <c r="E19" s="56"/>
      <c r="F19" s="57"/>
      <c r="G19" s="51"/>
      <c r="H19" s="52"/>
      <c r="I19" s="17"/>
      <c r="J19" s="51"/>
      <c r="K19" s="53"/>
      <c r="L19" s="52"/>
    </row>
    <row r="20" spans="2:12" s="18" customFormat="1" ht="12.75" x14ac:dyDescent="0.25">
      <c r="B20" s="4"/>
      <c r="C20" s="16"/>
      <c r="D20" s="16"/>
      <c r="E20" s="56"/>
      <c r="F20" s="57"/>
      <c r="G20" s="51"/>
      <c r="H20" s="52"/>
      <c r="I20" s="17"/>
      <c r="J20" s="51"/>
      <c r="K20" s="53"/>
      <c r="L20" s="52"/>
    </row>
    <row r="21" spans="2:12" s="18" customFormat="1" ht="12.75" x14ac:dyDescent="0.25">
      <c r="B21" s="4"/>
      <c r="C21" s="16"/>
      <c r="D21" s="16"/>
      <c r="E21" s="56"/>
      <c r="F21" s="57"/>
      <c r="G21" s="51"/>
      <c r="H21" s="52"/>
      <c r="I21" s="17"/>
      <c r="J21" s="51"/>
      <c r="K21" s="53"/>
      <c r="L21" s="52"/>
    </row>
    <row r="22" spans="2:12" s="18" customFormat="1" ht="12.75" x14ac:dyDescent="0.25">
      <c r="B22" s="4"/>
      <c r="C22" s="16"/>
      <c r="D22" s="16"/>
      <c r="E22" s="56"/>
      <c r="F22" s="57"/>
      <c r="G22" s="51"/>
      <c r="H22" s="52"/>
      <c r="I22" s="17"/>
      <c r="J22" s="51"/>
      <c r="K22" s="53"/>
      <c r="L22" s="52"/>
    </row>
    <row r="23" spans="2:12" s="18" customFormat="1" ht="12.75" x14ac:dyDescent="0.25">
      <c r="B23" s="4"/>
      <c r="C23" s="16"/>
      <c r="D23" s="16"/>
      <c r="E23" s="56"/>
      <c r="F23" s="57"/>
      <c r="G23" s="51"/>
      <c r="H23" s="52"/>
      <c r="I23" s="17"/>
      <c r="J23" s="51"/>
      <c r="K23" s="53"/>
      <c r="L23" s="52"/>
    </row>
    <row r="24" spans="2:12" s="18" customFormat="1" ht="12.75" x14ac:dyDescent="0.25">
      <c r="B24" s="4"/>
      <c r="C24" s="16"/>
      <c r="D24" s="16"/>
      <c r="E24" s="56"/>
      <c r="F24" s="57"/>
      <c r="G24" s="51"/>
      <c r="H24" s="52"/>
      <c r="I24" s="17"/>
      <c r="J24" s="51"/>
      <c r="K24" s="53"/>
      <c r="L24" s="52"/>
    </row>
    <row r="25" spans="2:12" s="18" customFormat="1" ht="12.75" x14ac:dyDescent="0.25">
      <c r="B25" s="4"/>
      <c r="C25" s="16"/>
      <c r="D25" s="16"/>
      <c r="E25" s="56"/>
      <c r="F25" s="57"/>
      <c r="G25" s="51"/>
      <c r="H25" s="52"/>
      <c r="I25" s="17"/>
      <c r="J25" s="51"/>
      <c r="K25" s="53"/>
      <c r="L25" s="52"/>
    </row>
    <row r="26" spans="2:12" s="18" customFormat="1" ht="12.75" x14ac:dyDescent="0.25">
      <c r="B26" s="4"/>
      <c r="C26" s="16"/>
      <c r="D26" s="16"/>
      <c r="E26" s="56"/>
      <c r="F26" s="57"/>
      <c r="G26" s="51"/>
      <c r="H26" s="52"/>
      <c r="I26" s="17"/>
      <c r="J26" s="51"/>
      <c r="K26" s="53"/>
      <c r="L26" s="52"/>
    </row>
    <row r="28" spans="2:12" s="24" customFormat="1" ht="21.75" customHeight="1" x14ac:dyDescent="0.25">
      <c r="B28" s="60" t="s">
        <v>9</v>
      </c>
      <c r="C28" s="61"/>
      <c r="D28" s="61"/>
      <c r="E28" s="61"/>
      <c r="F28" s="62"/>
      <c r="G28" s="62"/>
      <c r="H28" s="62"/>
      <c r="I28" s="62"/>
      <c r="J28" s="62"/>
      <c r="K28" s="62"/>
      <c r="L28" s="63"/>
    </row>
    <row r="29" spans="2:12" s="24" customFormat="1" ht="17.25" customHeight="1" x14ac:dyDescent="0.25">
      <c r="B29" s="48" t="s">
        <v>10</v>
      </c>
      <c r="C29" s="49"/>
      <c r="D29" s="49"/>
      <c r="E29" s="50"/>
      <c r="F29" s="25">
        <f>COUNTA(I7:I27)</f>
        <v>0</v>
      </c>
      <c r="G29" s="26"/>
      <c r="H29" s="27" t="s">
        <v>11</v>
      </c>
      <c r="I29" s="28">
        <f>COUNTIF(I7:I27,"Conformity")</f>
        <v>0</v>
      </c>
      <c r="J29" s="48" t="s">
        <v>12</v>
      </c>
      <c r="K29" s="50"/>
      <c r="L29" s="29">
        <f>COUNTIF(I7:I27,"Non-Conformity (NC)")</f>
        <v>0</v>
      </c>
    </row>
    <row r="30" spans="2:12" s="24" customFormat="1" ht="17.25" customHeight="1" x14ac:dyDescent="0.25">
      <c r="B30" s="48" t="s">
        <v>13</v>
      </c>
      <c r="C30" s="49"/>
      <c r="D30" s="49"/>
      <c r="E30" s="50"/>
      <c r="F30" s="25">
        <f>COUNTIF(I7:I27,"Observation")</f>
        <v>0</v>
      </c>
      <c r="G30" s="26"/>
      <c r="H30" s="27" t="s">
        <v>14</v>
      </c>
      <c r="I30" s="28">
        <f>COUNTIF(I7:I27,"OFI (Opportunity for Improvement)")</f>
        <v>0</v>
      </c>
      <c r="J30" s="48" t="s">
        <v>15</v>
      </c>
      <c r="K30" s="50"/>
      <c r="L30" s="30">
        <f>IF(F29=0,0,I29/F29)</f>
        <v>0</v>
      </c>
    </row>
  </sheetData>
  <sheetProtection algorithmName="SHA-512" hashValue="82CgoVfay6DCAILQUKsxFKqH+S7b5ZI6VsxectWuYhXIV8u5SqmGBBZhcEusU0u82fRBg/9GxjTqmKNdcMBVAw==" saltValue="VLpWhs5AQ4/C8sSOFrAsig==" spinCount="100000" sheet="1" objects="1" scenarios="1" formatCells="0" formatColumns="0" formatRows="0" insertRows="0" deleteRows="0" selectLockedCells="1"/>
  <mergeCells count="71">
    <mergeCell ref="B1:L1"/>
    <mergeCell ref="B28:L28"/>
    <mergeCell ref="E5:F5"/>
    <mergeCell ref="E6:F6"/>
    <mergeCell ref="E7:F7"/>
    <mergeCell ref="E9:F9"/>
    <mergeCell ref="E10:F10"/>
    <mergeCell ref="E11:F11"/>
    <mergeCell ref="J5:L5"/>
    <mergeCell ref="J6:L6"/>
    <mergeCell ref="B3:C3"/>
    <mergeCell ref="E21:F2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J7:L7"/>
    <mergeCell ref="J9:L9"/>
    <mergeCell ref="J10:L10"/>
    <mergeCell ref="J11:L11"/>
    <mergeCell ref="J12:L12"/>
    <mergeCell ref="E22:F22"/>
    <mergeCell ref="E23:F23"/>
    <mergeCell ref="E24:F24"/>
    <mergeCell ref="E25:F25"/>
    <mergeCell ref="E26:F26"/>
    <mergeCell ref="J26:L26"/>
    <mergeCell ref="G5:H5"/>
    <mergeCell ref="G6:H6"/>
    <mergeCell ref="G7:H7"/>
    <mergeCell ref="G9:H9"/>
    <mergeCell ref="G10:H10"/>
    <mergeCell ref="G11:H11"/>
    <mergeCell ref="J19:L19"/>
    <mergeCell ref="J20:L20"/>
    <mergeCell ref="J21:L21"/>
    <mergeCell ref="J22:L22"/>
    <mergeCell ref="J23:L23"/>
    <mergeCell ref="J24:L24"/>
    <mergeCell ref="J13:L13"/>
    <mergeCell ref="J14:L14"/>
    <mergeCell ref="J15:L15"/>
    <mergeCell ref="G14:H14"/>
    <mergeCell ref="G15:H15"/>
    <mergeCell ref="G16:H16"/>
    <mergeCell ref="G17:H17"/>
    <mergeCell ref="J25:L25"/>
    <mergeCell ref="J16:L16"/>
    <mergeCell ref="J17:L17"/>
    <mergeCell ref="J18:L18"/>
    <mergeCell ref="K2:L2"/>
    <mergeCell ref="B29:E29"/>
    <mergeCell ref="B30:E30"/>
    <mergeCell ref="J29:K29"/>
    <mergeCell ref="J30:K30"/>
    <mergeCell ref="G24:H24"/>
    <mergeCell ref="G25:H25"/>
    <mergeCell ref="G26:H26"/>
    <mergeCell ref="G18:H18"/>
    <mergeCell ref="G19:H19"/>
    <mergeCell ref="G20:H20"/>
    <mergeCell ref="G21:H21"/>
    <mergeCell ref="G22:H22"/>
    <mergeCell ref="G23:H23"/>
    <mergeCell ref="G12:H12"/>
    <mergeCell ref="G13:H13"/>
  </mergeCells>
  <phoneticPr fontId="6" type="noConversion"/>
  <dataValidations count="3">
    <dataValidation type="list" allowBlank="1" errorTitle="Invalid Status" error="Please select a valid compliance status" sqref="I6:I100" xr:uid="{BAACE080-1C86-4778-8D1C-C88CED812642}">
      <formula1>"Conformity,Non-Conformity (NC),Observation,OFI (Opportunity for Improvement)"</formula1>
    </dataValidation>
    <dataValidation type="list" sqref="L3" xr:uid="{4396DC0C-42C4-43EA-BF34-4AE767B2E04E}">
      <formula1>"Scheduled,In Progress,Completed"</formula1>
    </dataValidation>
    <dataValidation type="list" allowBlank="1" showInputMessage="1" showErrorMessage="1" sqref="H3" xr:uid="{2FE411ED-EC37-4C64-AEC4-B5B2E7064C91}">
      <formula1>"Procurement,Accounts &amp; Finance,Design &amp; Implementation,Production &amp; QAC - Fabrication,HRA (Human Resource &amp; Admin),Warehousing,Production &amp; QAC - Galvanizing,IT,Maintenance,HSE,Top Management"</formula1>
    </dataValidation>
  </dataValidations>
  <pageMargins left="0.25" right="0.25" top="0.75" bottom="0.75" header="0.3" footer="0.3"/>
  <pageSetup paperSize="9" scale="80" orientation="landscape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A152497-CE14-457C-B1A4-BC01F6AAB90F}">
          <x14:formula1>
            <xm:f>Sheet3!$C$4:$C$6</xm:f>
          </x14:formula1>
          <xm:sqref>C6:C26</xm:sqref>
        </x14:dataValidation>
        <x14:dataValidation type="list" allowBlank="1" showInputMessage="1" showErrorMessage="1" xr:uid="{39701ADA-94AE-447A-842E-7AC8E92DE50A}">
          <x14:formula1>
            <xm:f>Sheet3!$C$11:$C$21</xm:f>
          </x14:formula1>
          <xm:sqref>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6CD3-707B-45C6-9834-1E11D027D9FD}">
  <dimension ref="A1:D25"/>
  <sheetViews>
    <sheetView view="pageBreakPreview" zoomScale="145" zoomScaleNormal="100" zoomScaleSheetLayoutView="145" workbookViewId="0">
      <selection activeCell="D3" sqref="D3"/>
    </sheetView>
  </sheetViews>
  <sheetFormatPr defaultRowHeight="15" x14ac:dyDescent="0.25"/>
  <cols>
    <col min="1" max="1" width="21" customWidth="1"/>
    <col min="2" max="2" width="21.42578125" customWidth="1"/>
    <col min="3" max="3" width="21.85546875" customWidth="1"/>
    <col min="4" max="4" width="21.28515625" customWidth="1"/>
  </cols>
  <sheetData>
    <row r="1" spans="1:4" ht="51.75" customHeight="1" x14ac:dyDescent="0.25">
      <c r="A1" s="65" t="s">
        <v>67</v>
      </c>
      <c r="B1" s="62"/>
      <c r="C1" s="62"/>
      <c r="D1" s="63"/>
    </row>
    <row r="2" spans="1:4" x14ac:dyDescent="0.25">
      <c r="A2" s="66" t="s">
        <v>65</v>
      </c>
      <c r="B2" s="62"/>
      <c r="C2" s="62"/>
      <c r="D2" s="63"/>
    </row>
    <row r="3" spans="1:4" x14ac:dyDescent="0.25">
      <c r="A3" s="29"/>
      <c r="B3" s="29"/>
      <c r="C3" s="29"/>
      <c r="D3" s="38" t="s">
        <v>66</v>
      </c>
    </row>
    <row r="4" spans="1:4" x14ac:dyDescent="0.25">
      <c r="A4" s="67" t="s">
        <v>38</v>
      </c>
      <c r="B4" s="62"/>
      <c r="C4" s="62"/>
      <c r="D4" s="63"/>
    </row>
    <row r="5" spans="1:4" x14ac:dyDescent="0.25">
      <c r="A5" s="26" t="s">
        <v>37</v>
      </c>
      <c r="B5" s="39">
        <v>1</v>
      </c>
      <c r="C5" s="26" t="s">
        <v>36</v>
      </c>
      <c r="D5" s="40" t="s">
        <v>35</v>
      </c>
    </row>
    <row r="6" spans="1:4" x14ac:dyDescent="0.25">
      <c r="A6" s="26" t="s">
        <v>1</v>
      </c>
      <c r="B6" s="39"/>
      <c r="C6" s="26" t="s">
        <v>34</v>
      </c>
      <c r="D6" s="39"/>
    </row>
    <row r="7" spans="1:4" x14ac:dyDescent="0.25">
      <c r="A7" s="26" t="s">
        <v>33</v>
      </c>
      <c r="B7" s="39"/>
      <c r="C7" s="42" t="s">
        <v>32</v>
      </c>
      <c r="D7" s="39"/>
    </row>
    <row r="8" spans="1:4" x14ac:dyDescent="0.25">
      <c r="A8" s="26" t="s">
        <v>4</v>
      </c>
      <c r="B8" s="39"/>
      <c r="C8" s="42" t="s">
        <v>31</v>
      </c>
      <c r="D8" s="39"/>
    </row>
    <row r="9" spans="1:4" s="31" customFormat="1" ht="4.5" hidden="1" customHeight="1" x14ac:dyDescent="0.25">
      <c r="A9" s="71"/>
      <c r="B9" s="72"/>
      <c r="C9" s="72"/>
      <c r="D9" s="73"/>
    </row>
    <row r="10" spans="1:4" x14ac:dyDescent="0.25">
      <c r="A10" s="67" t="s">
        <v>30</v>
      </c>
      <c r="B10" s="62"/>
      <c r="C10" s="62"/>
      <c r="D10" s="63"/>
    </row>
    <row r="11" spans="1:4" ht="48.75" customHeight="1" x14ac:dyDescent="0.25">
      <c r="A11" s="43" t="s">
        <v>29</v>
      </c>
      <c r="B11" s="68"/>
      <c r="C11" s="69"/>
      <c r="D11" s="70"/>
    </row>
    <row r="12" spans="1:4" ht="53.25" customHeight="1" x14ac:dyDescent="0.25">
      <c r="A12" s="44" t="s">
        <v>28</v>
      </c>
      <c r="B12" s="68"/>
      <c r="C12" s="69"/>
      <c r="D12" s="70"/>
    </row>
    <row r="13" spans="1:4" hidden="1" x14ac:dyDescent="0.25">
      <c r="A13" s="19"/>
      <c r="B13" s="19"/>
      <c r="C13" s="19"/>
      <c r="D13" s="19"/>
    </row>
    <row r="14" spans="1:4" x14ac:dyDescent="0.25">
      <c r="A14" s="74" t="s">
        <v>27</v>
      </c>
      <c r="B14" s="62"/>
      <c r="C14" s="62"/>
      <c r="D14" s="63"/>
    </row>
    <row r="15" spans="1:4" ht="49.5" customHeight="1" x14ac:dyDescent="0.25">
      <c r="A15" s="44" t="s">
        <v>26</v>
      </c>
      <c r="B15" s="68"/>
      <c r="C15" s="69"/>
      <c r="D15" s="70"/>
    </row>
    <row r="16" spans="1:4" hidden="1" x14ac:dyDescent="0.25">
      <c r="A16" s="19"/>
      <c r="B16" s="19"/>
      <c r="C16" s="19"/>
      <c r="D16" s="19"/>
    </row>
    <row r="17" spans="1:4" x14ac:dyDescent="0.25">
      <c r="A17" s="67" t="s">
        <v>25</v>
      </c>
      <c r="B17" s="62"/>
      <c r="C17" s="62"/>
      <c r="D17" s="63"/>
    </row>
    <row r="18" spans="1:4" ht="57.75" customHeight="1" x14ac:dyDescent="0.25">
      <c r="A18" s="45" t="s">
        <v>24</v>
      </c>
      <c r="B18" s="68"/>
      <c r="C18" s="69"/>
      <c r="D18" s="70"/>
    </row>
    <row r="19" spans="1:4" ht="55.5" customHeight="1" x14ac:dyDescent="0.25">
      <c r="A19" s="45" t="s">
        <v>23</v>
      </c>
      <c r="B19" s="68"/>
      <c r="C19" s="69"/>
      <c r="D19" s="70"/>
    </row>
    <row r="20" spans="1:4" ht="19.5" customHeight="1" x14ac:dyDescent="0.25">
      <c r="A20" s="26" t="s">
        <v>22</v>
      </c>
      <c r="B20" s="41"/>
      <c r="C20" s="26" t="s">
        <v>21</v>
      </c>
      <c r="D20" s="41"/>
    </row>
    <row r="21" spans="1:4" ht="9" hidden="1" customHeight="1" x14ac:dyDescent="0.25">
      <c r="A21" s="19"/>
      <c r="B21" s="19"/>
      <c r="C21" s="19"/>
      <c r="D21" s="19"/>
    </row>
    <row r="22" spans="1:4" x14ac:dyDescent="0.25">
      <c r="A22" s="67" t="s">
        <v>20</v>
      </c>
      <c r="B22" s="62"/>
      <c r="C22" s="62"/>
      <c r="D22" s="63"/>
    </row>
    <row r="23" spans="1:4" ht="18.75" customHeight="1" x14ac:dyDescent="0.25">
      <c r="A23" s="26" t="s">
        <v>19</v>
      </c>
      <c r="B23" s="41"/>
      <c r="C23" s="26" t="s">
        <v>18</v>
      </c>
      <c r="D23" s="41"/>
    </row>
    <row r="24" spans="1:4" ht="34.5" customHeight="1" x14ac:dyDescent="0.25">
      <c r="A24" s="46" t="s">
        <v>64</v>
      </c>
      <c r="B24" s="68"/>
      <c r="C24" s="69"/>
      <c r="D24" s="70"/>
    </row>
    <row r="25" spans="1:4" ht="18" customHeight="1" x14ac:dyDescent="0.25">
      <c r="A25" s="26" t="s">
        <v>17</v>
      </c>
      <c r="B25" s="41"/>
      <c r="C25" s="42" t="s">
        <v>16</v>
      </c>
      <c r="D25" s="41"/>
    </row>
  </sheetData>
  <sheetProtection algorithmName="SHA-512" hashValue="/LXzLkd6/Z59HonIxxoM4skv2mGgepH3vcAvUpAgQOxPwRkj6juy2IuSOCCBk1wzR1sdKFpKGCGbnLjIhZNk5g==" saltValue="ql4qDiKniFB0gsNNUOAMdA==" spinCount="100000" sheet="1" objects="1" scenarios="1" formatCells="0" formatColumns="0" formatRows="0" selectLockedCells="1"/>
  <mergeCells count="14">
    <mergeCell ref="B12:D12"/>
    <mergeCell ref="A9:D9"/>
    <mergeCell ref="B24:D24"/>
    <mergeCell ref="A14:D14"/>
    <mergeCell ref="B15:D15"/>
    <mergeCell ref="A17:D17"/>
    <mergeCell ref="B18:D18"/>
    <mergeCell ref="B19:D19"/>
    <mergeCell ref="A22:D22"/>
    <mergeCell ref="A1:D1"/>
    <mergeCell ref="A2:D2"/>
    <mergeCell ref="A4:D4"/>
    <mergeCell ref="A10:D10"/>
    <mergeCell ref="B11:D11"/>
  </mergeCells>
  <dataValidations count="5">
    <dataValidation type="list" errorTitle="Invalid Department" error="Please select a valid department" sqref="B6" xr:uid="{EE9608FA-5E66-4711-B14E-C02444223A83}">
      <formula1>"Procurement,Accounts &amp; Finance,Design &amp; Implementation,Production &amp; QAC - Fabrication,HRA (Human Resource &amp; Admin),Warehousing,Production &amp; QAC - Galvanizing,IT,Maintenance,HSE,Top Management"</formula1>
    </dataValidation>
    <dataValidation type="list" errorTitle="Invalid NC Type" error="Please select: Major, Minor, Observation, or OFI" sqref="B7" xr:uid="{82A78E63-F597-4BD4-AAE5-C3B4A597316D}">
      <formula1>"Major,Minor,Observation,OFI"</formula1>
    </dataValidation>
    <dataValidation type="list" errorTitle="Invalid Risk Level" error="Please select: High, Medium, or Low" sqref="D7" xr:uid="{8989E125-55CD-4AAD-8754-FE3DF56E1F5B}">
      <formula1>"High,Medium,Low"</formula1>
    </dataValidation>
    <dataValidation type="list" errorTitle="Invalid ISO Standard" error="Please select a valid ISO standard" sqref="B8" xr:uid="{7D5F66D4-CEB4-4A68-AE24-22B7EE2B9360}">
      <formula1>"ISO 9001:2015,ISO 14001:2015,ISO 45001:2018"</formula1>
    </dataValidation>
    <dataValidation type="list" errorTitle="Invalid Status" error="Please select: Open, In Progress, Closed, or Overdue" sqref="B23" xr:uid="{2FA4AB9B-841F-4C85-8936-1DE66C9CC205}">
      <formula1>"Open,In Progress,Closed,Overdue"</formula1>
    </dataValidation>
  </dataValidations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B0FB9-BCDA-4E97-9C71-79A940740437}">
  <dimension ref="A1:D25"/>
  <sheetViews>
    <sheetView view="pageBreakPreview" zoomScale="145" zoomScaleNormal="100" zoomScaleSheetLayoutView="145" workbookViewId="0">
      <selection activeCell="B19" sqref="B19:D19"/>
    </sheetView>
  </sheetViews>
  <sheetFormatPr defaultRowHeight="15" x14ac:dyDescent="0.25"/>
  <cols>
    <col min="1" max="1" width="21" customWidth="1"/>
    <col min="2" max="2" width="21.42578125" customWidth="1"/>
    <col min="3" max="3" width="21.85546875" customWidth="1"/>
    <col min="4" max="4" width="21.28515625" customWidth="1"/>
  </cols>
  <sheetData>
    <row r="1" spans="1:4" ht="51.75" customHeight="1" x14ac:dyDescent="0.25">
      <c r="A1" s="65" t="s">
        <v>67</v>
      </c>
      <c r="B1" s="62"/>
      <c r="C1" s="62"/>
      <c r="D1" s="63"/>
    </row>
    <row r="2" spans="1:4" x14ac:dyDescent="0.25">
      <c r="A2" s="66" t="s">
        <v>65</v>
      </c>
      <c r="B2" s="62"/>
      <c r="C2" s="62"/>
      <c r="D2" s="63"/>
    </row>
    <row r="3" spans="1:4" x14ac:dyDescent="0.25">
      <c r="A3" s="29"/>
      <c r="B3" s="29"/>
      <c r="C3" s="29"/>
      <c r="D3" s="38" t="s">
        <v>66</v>
      </c>
    </row>
    <row r="4" spans="1:4" x14ac:dyDescent="0.25">
      <c r="A4" s="67" t="s">
        <v>38</v>
      </c>
      <c r="B4" s="62"/>
      <c r="C4" s="62"/>
      <c r="D4" s="63"/>
    </row>
    <row r="5" spans="1:4" x14ac:dyDescent="0.25">
      <c r="A5" s="26" t="s">
        <v>37</v>
      </c>
      <c r="B5" s="39">
        <v>1</v>
      </c>
      <c r="C5" s="26" t="s">
        <v>36</v>
      </c>
      <c r="D5" s="40" t="s">
        <v>35</v>
      </c>
    </row>
    <row r="6" spans="1:4" x14ac:dyDescent="0.25">
      <c r="A6" s="26" t="s">
        <v>1</v>
      </c>
      <c r="B6" s="39"/>
      <c r="C6" s="26" t="s">
        <v>34</v>
      </c>
      <c r="D6" s="39"/>
    </row>
    <row r="7" spans="1:4" x14ac:dyDescent="0.25">
      <c r="A7" s="26" t="s">
        <v>33</v>
      </c>
      <c r="B7" s="39"/>
      <c r="C7" s="42" t="s">
        <v>32</v>
      </c>
      <c r="D7" s="39"/>
    </row>
    <row r="8" spans="1:4" x14ac:dyDescent="0.25">
      <c r="A8" s="26" t="s">
        <v>4</v>
      </c>
      <c r="B8" s="39"/>
      <c r="C8" s="42" t="s">
        <v>31</v>
      </c>
      <c r="D8" s="39"/>
    </row>
    <row r="9" spans="1:4" s="31" customFormat="1" ht="4.5" hidden="1" customHeight="1" x14ac:dyDescent="0.25">
      <c r="A9" s="71"/>
      <c r="B9" s="72"/>
      <c r="C9" s="72"/>
      <c r="D9" s="73"/>
    </row>
    <row r="10" spans="1:4" x14ac:dyDescent="0.25">
      <c r="A10" s="67" t="s">
        <v>30</v>
      </c>
      <c r="B10" s="62"/>
      <c r="C10" s="62"/>
      <c r="D10" s="63"/>
    </row>
    <row r="11" spans="1:4" ht="48.75" customHeight="1" x14ac:dyDescent="0.25">
      <c r="A11" s="43" t="s">
        <v>29</v>
      </c>
      <c r="B11" s="68"/>
      <c r="C11" s="69"/>
      <c r="D11" s="70"/>
    </row>
    <row r="12" spans="1:4" ht="53.25" customHeight="1" x14ac:dyDescent="0.25">
      <c r="A12" s="44" t="s">
        <v>28</v>
      </c>
      <c r="B12" s="68"/>
      <c r="C12" s="69"/>
      <c r="D12" s="70"/>
    </row>
    <row r="13" spans="1:4" hidden="1" x14ac:dyDescent="0.25">
      <c r="A13" s="19"/>
      <c r="B13" s="19"/>
      <c r="C13" s="19"/>
      <c r="D13" s="19"/>
    </row>
    <row r="14" spans="1:4" x14ac:dyDescent="0.25">
      <c r="A14" s="74" t="s">
        <v>27</v>
      </c>
      <c r="B14" s="62"/>
      <c r="C14" s="62"/>
      <c r="D14" s="63"/>
    </row>
    <row r="15" spans="1:4" ht="49.5" customHeight="1" x14ac:dyDescent="0.25">
      <c r="A15" s="44" t="s">
        <v>26</v>
      </c>
      <c r="B15" s="68"/>
      <c r="C15" s="69"/>
      <c r="D15" s="70"/>
    </row>
    <row r="16" spans="1:4" hidden="1" x14ac:dyDescent="0.25">
      <c r="A16" s="19"/>
      <c r="B16" s="19"/>
      <c r="C16" s="19"/>
      <c r="D16" s="19"/>
    </row>
    <row r="17" spans="1:4" x14ac:dyDescent="0.25">
      <c r="A17" s="67" t="s">
        <v>25</v>
      </c>
      <c r="B17" s="62"/>
      <c r="C17" s="62"/>
      <c r="D17" s="63"/>
    </row>
    <row r="18" spans="1:4" ht="57.75" customHeight="1" x14ac:dyDescent="0.25">
      <c r="A18" s="45" t="s">
        <v>24</v>
      </c>
      <c r="B18" s="68"/>
      <c r="C18" s="69"/>
      <c r="D18" s="70"/>
    </row>
    <row r="19" spans="1:4" ht="55.5" customHeight="1" x14ac:dyDescent="0.25">
      <c r="A19" s="45" t="s">
        <v>23</v>
      </c>
      <c r="B19" s="68"/>
      <c r="C19" s="69"/>
      <c r="D19" s="70"/>
    </row>
    <row r="20" spans="1:4" ht="17.25" customHeight="1" x14ac:dyDescent="0.25">
      <c r="A20" s="26" t="s">
        <v>22</v>
      </c>
      <c r="B20" s="41"/>
      <c r="C20" s="26" t="s">
        <v>21</v>
      </c>
      <c r="D20" s="41"/>
    </row>
    <row r="21" spans="1:4" ht="9" hidden="1" customHeight="1" x14ac:dyDescent="0.25">
      <c r="A21" s="19"/>
      <c r="B21" s="19"/>
      <c r="C21" s="19"/>
      <c r="D21" s="19"/>
    </row>
    <row r="22" spans="1:4" x14ac:dyDescent="0.25">
      <c r="A22" s="67" t="s">
        <v>20</v>
      </c>
      <c r="B22" s="62"/>
      <c r="C22" s="62"/>
      <c r="D22" s="63"/>
    </row>
    <row r="23" spans="1:4" ht="18.75" customHeight="1" x14ac:dyDescent="0.25">
      <c r="A23" s="26" t="s">
        <v>19</v>
      </c>
      <c r="B23" s="41"/>
      <c r="C23" s="26" t="s">
        <v>18</v>
      </c>
      <c r="D23" s="41"/>
    </row>
    <row r="24" spans="1:4" ht="34.5" customHeight="1" x14ac:dyDescent="0.25">
      <c r="A24" s="46" t="s">
        <v>64</v>
      </c>
      <c r="B24" s="68"/>
      <c r="C24" s="69"/>
      <c r="D24" s="70"/>
    </row>
    <row r="25" spans="1:4" ht="18" customHeight="1" x14ac:dyDescent="0.25">
      <c r="A25" s="26" t="s">
        <v>17</v>
      </c>
      <c r="B25" s="41"/>
      <c r="C25" s="42" t="s">
        <v>16</v>
      </c>
      <c r="D25" s="41"/>
    </row>
  </sheetData>
  <sheetProtection algorithmName="SHA-512" hashValue="/LXzLkd6/Z59HonIxxoM4skv2mGgepH3vcAvUpAgQOxPwRkj6juy2IuSOCCBk1wzR1sdKFpKGCGbnLjIhZNk5g==" saltValue="ql4qDiKniFB0gsNNUOAMdA==" spinCount="100000" sheet="1" objects="1" scenarios="1" formatCells="0" formatColumns="0" formatRows="0" selectLockedCells="1"/>
  <mergeCells count="14">
    <mergeCell ref="B11:D11"/>
    <mergeCell ref="A1:D1"/>
    <mergeCell ref="A2:D2"/>
    <mergeCell ref="A4:D4"/>
    <mergeCell ref="A9:D9"/>
    <mergeCell ref="A10:D10"/>
    <mergeCell ref="A22:D22"/>
    <mergeCell ref="B24:D24"/>
    <mergeCell ref="B12:D12"/>
    <mergeCell ref="A14:D14"/>
    <mergeCell ref="B15:D15"/>
    <mergeCell ref="A17:D17"/>
    <mergeCell ref="B18:D18"/>
    <mergeCell ref="B19:D19"/>
  </mergeCells>
  <dataValidations count="5">
    <dataValidation type="list" errorTitle="Invalid Status" error="Please select: Open, In Progress, Closed, or Overdue" sqref="B23" xr:uid="{0C41FA7B-19FE-4440-AF0A-193B33A424BD}">
      <formula1>"Open,In Progress,Closed,Overdue"</formula1>
    </dataValidation>
    <dataValidation type="list" errorTitle="Invalid ISO Standard" error="Please select a valid ISO standard" sqref="B8" xr:uid="{08802086-2894-445F-B68A-C87C857B3430}">
      <formula1>"ISO 9001:2015,ISO 14001:2015,ISO 45001:2018"</formula1>
    </dataValidation>
    <dataValidation type="list" errorTitle="Invalid Risk Level" error="Please select: High, Medium, or Low" sqref="D7" xr:uid="{FFBEF78F-153F-4C74-8705-EF2422B93BC4}">
      <formula1>"High,Medium,Low"</formula1>
    </dataValidation>
    <dataValidation type="list" errorTitle="Invalid NC Type" error="Please select: Major, Minor, Observation, or OFI" sqref="B7" xr:uid="{673FBA48-81F3-48EF-B6EF-16A76C24F2CD}">
      <formula1>"Major,Minor,Observation,OFI"</formula1>
    </dataValidation>
    <dataValidation type="list" errorTitle="Invalid Department" error="Please select a valid department" sqref="B6" xr:uid="{C621666A-FB4C-48D8-B567-2D6A23ADBFFE}">
      <formula1>"Procurement,Accounts &amp; Finance,Design &amp; Implementation,Production &amp; QAC - Fabrication,HRA (Human Resource &amp; Admin),Warehousing,Production &amp; QAC - Galvanizing,IT,Maintenance,HSE,Top Management"</formula1>
    </dataValidation>
  </dataValidations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34A18-4AF5-4691-9E39-CA839351CB7C}">
  <dimension ref="A1:D25"/>
  <sheetViews>
    <sheetView view="pageBreakPreview" zoomScale="145" zoomScaleNormal="100" zoomScaleSheetLayoutView="145" workbookViewId="0">
      <selection activeCell="B15" sqref="B15:D15"/>
    </sheetView>
  </sheetViews>
  <sheetFormatPr defaultRowHeight="15" x14ac:dyDescent="0.25"/>
  <cols>
    <col min="1" max="1" width="21" customWidth="1"/>
    <col min="2" max="2" width="21.42578125" customWidth="1"/>
    <col min="3" max="3" width="21.85546875" customWidth="1"/>
    <col min="4" max="4" width="21.28515625" customWidth="1"/>
  </cols>
  <sheetData>
    <row r="1" spans="1:4" ht="51.75" customHeight="1" x14ac:dyDescent="0.25">
      <c r="A1" s="65" t="s">
        <v>67</v>
      </c>
      <c r="B1" s="62"/>
      <c r="C1" s="62"/>
      <c r="D1" s="63"/>
    </row>
    <row r="2" spans="1:4" x14ac:dyDescent="0.25">
      <c r="A2" s="66" t="s">
        <v>65</v>
      </c>
      <c r="B2" s="62"/>
      <c r="C2" s="62"/>
      <c r="D2" s="63"/>
    </row>
    <row r="3" spans="1:4" x14ac:dyDescent="0.25">
      <c r="A3" s="29"/>
      <c r="B3" s="29"/>
      <c r="C3" s="29"/>
      <c r="D3" s="38" t="s">
        <v>66</v>
      </c>
    </row>
    <row r="4" spans="1:4" x14ac:dyDescent="0.25">
      <c r="A4" s="67" t="s">
        <v>38</v>
      </c>
      <c r="B4" s="62"/>
      <c r="C4" s="62"/>
      <c r="D4" s="63"/>
    </row>
    <row r="5" spans="1:4" x14ac:dyDescent="0.25">
      <c r="A5" s="26" t="s">
        <v>37</v>
      </c>
      <c r="B5" s="39">
        <v>1</v>
      </c>
      <c r="C5" s="26" t="s">
        <v>36</v>
      </c>
      <c r="D5" s="40" t="s">
        <v>35</v>
      </c>
    </row>
    <row r="6" spans="1:4" x14ac:dyDescent="0.25">
      <c r="A6" s="26" t="s">
        <v>1</v>
      </c>
      <c r="B6" s="39"/>
      <c r="C6" s="26" t="s">
        <v>34</v>
      </c>
      <c r="D6" s="39"/>
    </row>
    <row r="7" spans="1:4" x14ac:dyDescent="0.25">
      <c r="A7" s="26" t="s">
        <v>33</v>
      </c>
      <c r="B7" s="39"/>
      <c r="C7" s="42" t="s">
        <v>32</v>
      </c>
      <c r="D7" s="39"/>
    </row>
    <row r="8" spans="1:4" x14ac:dyDescent="0.25">
      <c r="A8" s="26" t="s">
        <v>4</v>
      </c>
      <c r="B8" s="39"/>
      <c r="C8" s="42" t="s">
        <v>31</v>
      </c>
      <c r="D8" s="39"/>
    </row>
    <row r="9" spans="1:4" s="31" customFormat="1" ht="4.5" hidden="1" customHeight="1" x14ac:dyDescent="0.25">
      <c r="A9" s="71"/>
      <c r="B9" s="72"/>
      <c r="C9" s="72"/>
      <c r="D9" s="73"/>
    </row>
    <row r="10" spans="1:4" x14ac:dyDescent="0.25">
      <c r="A10" s="67" t="s">
        <v>30</v>
      </c>
      <c r="B10" s="62"/>
      <c r="C10" s="62"/>
      <c r="D10" s="63"/>
    </row>
    <row r="11" spans="1:4" ht="48.75" customHeight="1" x14ac:dyDescent="0.25">
      <c r="A11" s="43" t="s">
        <v>29</v>
      </c>
      <c r="B11" s="68"/>
      <c r="C11" s="69"/>
      <c r="D11" s="70"/>
    </row>
    <row r="12" spans="1:4" ht="53.25" customHeight="1" x14ac:dyDescent="0.25">
      <c r="A12" s="44" t="s">
        <v>28</v>
      </c>
      <c r="B12" s="68"/>
      <c r="C12" s="69"/>
      <c r="D12" s="70"/>
    </row>
    <row r="13" spans="1:4" hidden="1" x14ac:dyDescent="0.25">
      <c r="A13" s="19"/>
      <c r="B13" s="19"/>
      <c r="C13" s="19"/>
      <c r="D13" s="19"/>
    </row>
    <row r="14" spans="1:4" x14ac:dyDescent="0.25">
      <c r="A14" s="74" t="s">
        <v>27</v>
      </c>
      <c r="B14" s="62"/>
      <c r="C14" s="62"/>
      <c r="D14" s="63"/>
    </row>
    <row r="15" spans="1:4" ht="49.5" customHeight="1" x14ac:dyDescent="0.25">
      <c r="A15" s="44" t="s">
        <v>26</v>
      </c>
      <c r="B15" s="68"/>
      <c r="C15" s="69"/>
      <c r="D15" s="70"/>
    </row>
    <row r="16" spans="1:4" hidden="1" x14ac:dyDescent="0.25">
      <c r="A16" s="19"/>
      <c r="B16" s="19"/>
      <c r="C16" s="19"/>
      <c r="D16" s="19"/>
    </row>
    <row r="17" spans="1:4" x14ac:dyDescent="0.25">
      <c r="A17" s="67" t="s">
        <v>25</v>
      </c>
      <c r="B17" s="62"/>
      <c r="C17" s="62"/>
      <c r="D17" s="63"/>
    </row>
    <row r="18" spans="1:4" ht="57.75" customHeight="1" x14ac:dyDescent="0.25">
      <c r="A18" s="45" t="s">
        <v>24</v>
      </c>
      <c r="B18" s="68"/>
      <c r="C18" s="69"/>
      <c r="D18" s="70"/>
    </row>
    <row r="19" spans="1:4" ht="55.5" customHeight="1" x14ac:dyDescent="0.25">
      <c r="A19" s="45" t="s">
        <v>23</v>
      </c>
      <c r="B19" s="68"/>
      <c r="C19" s="69"/>
      <c r="D19" s="70"/>
    </row>
    <row r="20" spans="1:4" ht="17.25" customHeight="1" x14ac:dyDescent="0.25">
      <c r="A20" s="26" t="s">
        <v>22</v>
      </c>
      <c r="B20" s="41"/>
      <c r="C20" s="26" t="s">
        <v>21</v>
      </c>
      <c r="D20" s="41"/>
    </row>
    <row r="21" spans="1:4" ht="9" hidden="1" customHeight="1" x14ac:dyDescent="0.25">
      <c r="A21" s="19"/>
      <c r="B21" s="19"/>
      <c r="C21" s="19"/>
      <c r="D21" s="19"/>
    </row>
    <row r="22" spans="1:4" x14ac:dyDescent="0.25">
      <c r="A22" s="67" t="s">
        <v>20</v>
      </c>
      <c r="B22" s="62"/>
      <c r="C22" s="62"/>
      <c r="D22" s="63"/>
    </row>
    <row r="23" spans="1:4" ht="18.75" customHeight="1" x14ac:dyDescent="0.25">
      <c r="A23" s="26" t="s">
        <v>19</v>
      </c>
      <c r="B23" s="41"/>
      <c r="C23" s="26" t="s">
        <v>18</v>
      </c>
      <c r="D23" s="41"/>
    </row>
    <row r="24" spans="1:4" ht="34.5" customHeight="1" x14ac:dyDescent="0.25">
      <c r="A24" s="46" t="s">
        <v>64</v>
      </c>
      <c r="B24" s="68"/>
      <c r="C24" s="69"/>
      <c r="D24" s="70"/>
    </row>
    <row r="25" spans="1:4" ht="18" customHeight="1" x14ac:dyDescent="0.25">
      <c r="A25" s="26" t="s">
        <v>17</v>
      </c>
      <c r="B25" s="41"/>
      <c r="C25" s="42" t="s">
        <v>16</v>
      </c>
      <c r="D25" s="41"/>
    </row>
  </sheetData>
  <sheetProtection algorithmName="SHA-512" hashValue="/LXzLkd6/Z59HonIxxoM4skv2mGgepH3vcAvUpAgQOxPwRkj6juy2IuSOCCBk1wzR1sdKFpKGCGbnLjIhZNk5g==" saltValue="ql4qDiKniFB0gsNNUOAMdA==" spinCount="100000" sheet="1" objects="1" scenarios="1" formatCells="0" formatColumns="0" formatRows="0" selectLockedCells="1"/>
  <mergeCells count="14">
    <mergeCell ref="B11:D11"/>
    <mergeCell ref="A1:D1"/>
    <mergeCell ref="A2:D2"/>
    <mergeCell ref="A4:D4"/>
    <mergeCell ref="A9:D9"/>
    <mergeCell ref="A10:D10"/>
    <mergeCell ref="A22:D22"/>
    <mergeCell ref="B24:D24"/>
    <mergeCell ref="B12:D12"/>
    <mergeCell ref="A14:D14"/>
    <mergeCell ref="B15:D15"/>
    <mergeCell ref="A17:D17"/>
    <mergeCell ref="B18:D18"/>
    <mergeCell ref="B19:D19"/>
  </mergeCells>
  <dataValidations count="5">
    <dataValidation type="list" errorTitle="Invalid Department" error="Please select a valid department" sqref="B6" xr:uid="{FF9CE1BB-7767-4C92-810D-A8043A729F49}">
      <formula1>"Procurement,Accounts &amp; Finance,Design &amp; Implementation,Production &amp; QAC - Fabrication,HRA (Human Resource &amp; Admin),Warehousing,Production &amp; QAC - Galvanizing,IT,Maintenance,HSE,Top Management"</formula1>
    </dataValidation>
    <dataValidation type="list" errorTitle="Invalid NC Type" error="Please select: Major, Minor, Observation, or OFI" sqref="B7" xr:uid="{47CA2A88-CB2E-40CA-A3F9-3DAD83A7CF95}">
      <formula1>"Major,Minor,Observation,OFI"</formula1>
    </dataValidation>
    <dataValidation type="list" errorTitle="Invalid Risk Level" error="Please select: High, Medium, or Low" sqref="D7" xr:uid="{0825D7EC-AFA5-4822-8FFD-2601D99DE66D}">
      <formula1>"High,Medium,Low"</formula1>
    </dataValidation>
    <dataValidation type="list" errorTitle="Invalid ISO Standard" error="Please select a valid ISO standard" sqref="B8" xr:uid="{F12EC680-B84B-431D-A069-1AA6A64CBC0D}">
      <formula1>"ISO 9001:2015,ISO 14001:2015,ISO 45001:2018"</formula1>
    </dataValidation>
    <dataValidation type="list" errorTitle="Invalid Status" error="Please select: Open, In Progress, Closed, or Overdue" sqref="B23" xr:uid="{799F2319-740A-4289-88D9-CE719D181C5C}">
      <formula1>"Open,In Progress,Closed,Overdue"</formula1>
    </dataValidation>
  </dataValidations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1F3B4-F5E9-4C64-826E-DEFAE86CD1BD}">
  <dimension ref="C4:C21"/>
  <sheetViews>
    <sheetView workbookViewId="0">
      <selection activeCell="I28" sqref="I28"/>
    </sheetView>
  </sheetViews>
  <sheetFormatPr defaultRowHeight="15" x14ac:dyDescent="0.25"/>
  <cols>
    <col min="3" max="3" width="43.28515625" bestFit="1" customWidth="1"/>
  </cols>
  <sheetData>
    <row r="4" spans="3:3" x14ac:dyDescent="0.25">
      <c r="C4" s="1" t="s">
        <v>43</v>
      </c>
    </row>
    <row r="5" spans="3:3" x14ac:dyDescent="0.25">
      <c r="C5" s="1" t="s">
        <v>44</v>
      </c>
    </row>
    <row r="6" spans="3:3" x14ac:dyDescent="0.25">
      <c r="C6" s="1" t="s">
        <v>45</v>
      </c>
    </row>
    <row r="10" spans="3:3" x14ac:dyDescent="0.25">
      <c r="C10" s="2" t="s">
        <v>51</v>
      </c>
    </row>
    <row r="11" spans="3:3" x14ac:dyDescent="0.25">
      <c r="C11" s="3" t="s">
        <v>52</v>
      </c>
    </row>
    <row r="12" spans="3:3" x14ac:dyDescent="0.25">
      <c r="C12" s="3" t="s">
        <v>53</v>
      </c>
    </row>
    <row r="13" spans="3:3" x14ac:dyDescent="0.25">
      <c r="C13" s="3" t="s">
        <v>54</v>
      </c>
    </row>
    <row r="14" spans="3:3" x14ac:dyDescent="0.25">
      <c r="C14" s="3" t="s">
        <v>55</v>
      </c>
    </row>
    <row r="15" spans="3:3" x14ac:dyDescent="0.25">
      <c r="C15" s="3" t="s">
        <v>56</v>
      </c>
    </row>
    <row r="16" spans="3:3" x14ac:dyDescent="0.25">
      <c r="C16" s="3" t="s">
        <v>57</v>
      </c>
    </row>
    <row r="17" spans="3:3" x14ac:dyDescent="0.25">
      <c r="C17" s="3" t="s">
        <v>54</v>
      </c>
    </row>
    <row r="18" spans="3:3" x14ac:dyDescent="0.25">
      <c r="C18" s="3" t="s">
        <v>58</v>
      </c>
    </row>
    <row r="19" spans="3:3" x14ac:dyDescent="0.25">
      <c r="C19" s="3" t="s">
        <v>59</v>
      </c>
    </row>
    <row r="20" spans="3:3" x14ac:dyDescent="0.25">
      <c r="C20" s="3" t="s">
        <v>60</v>
      </c>
    </row>
    <row r="21" spans="3:3" x14ac:dyDescent="0.25">
      <c r="C21" s="3" t="s">
        <v>61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Audit Checklist &amp; Report</vt:lpstr>
      <vt:lpstr>NCR 1</vt:lpstr>
      <vt:lpstr>NCR 2</vt:lpstr>
      <vt:lpstr>NCR 3</vt:lpstr>
      <vt:lpstr>Sheet3</vt:lpstr>
      <vt:lpstr>'Audit Checklist &amp; Report'!Print_Area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</dc:creator>
  <cp:lastModifiedBy>HRM</cp:lastModifiedBy>
  <cp:lastPrinted>2026-01-23T09:52:24Z</cp:lastPrinted>
  <dcterms:created xsi:type="dcterms:W3CDTF">2026-01-23T07:24:42Z</dcterms:created>
  <dcterms:modified xsi:type="dcterms:W3CDTF">2026-01-23T11:20:37Z</dcterms:modified>
</cp:coreProperties>
</file>